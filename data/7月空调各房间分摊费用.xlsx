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z001308\Desktop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<sst xmlns="http://schemas.openxmlformats.org/spreadsheetml/2006/main" count="99" uniqueCount="21">
  <si>
    <t>序号</t>
  </si>
  <si>
    <t>楼栋号</t>
  </si>
  <si>
    <t>房间号</t>
  </si>
  <si>
    <t>室标</t>
  </si>
  <si>
    <t>房间空调度数</t>
  </si>
  <si>
    <t>房间电费（要改单价)</t>
  </si>
  <si>
    <t>每人分摊电费</t>
  </si>
  <si>
    <t>备注</t>
  </si>
  <si>
    <t>户号</t>
  </si>
  <si>
    <t>总度数</t>
  </si>
  <si>
    <t>金额</t>
  </si>
  <si>
    <t>平均单价</t>
  </si>
  <si>
    <t>空调度数</t>
  </si>
  <si>
    <t>公用度数</t>
  </si>
  <si>
    <t>公用电费</t>
  </si>
  <si>
    <t>北小单间</t>
  </si>
  <si>
    <t>南独卫间</t>
  </si>
  <si>
    <t>南带飘窗间</t>
  </si>
  <si>
    <t>南客隔间</t>
  </si>
  <si>
    <t>合计度数：</t>
  </si>
  <si>
    <t>北厨房隔间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</si>
</sst>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#,##0_);[Red]\(#,##0\)"/>
    <numFmt numFmtId="178" formatCode="0.0_);[Red]\(0.0\)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5" borderId="9">
      <alignment vertical="center"/>
    </xf>
    <xf numFmtId="0" fontId="17" fillId="6" borderId="10">
      <alignment vertical="center"/>
    </xf>
    <xf numFmtId="0" fontId="18" fillId="6" borderId="9">
      <alignment vertical="center"/>
    </xf>
    <xf numFmtId="0" fontId="19" fillId="7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" fillId="12" borderId="0">
      <alignment vertical="center"/>
    </xf>
    <xf numFmtId="0" fontId="2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" fillId="16" borderId="0">
      <alignment vertical="center"/>
    </xf>
    <xf numFmtId="0" fontId="2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" fillId="24" borderId="0">
      <alignment vertical="center"/>
    </xf>
    <xf numFmtId="0" fontId="2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" fillId="28" borderId="0">
      <alignment vertical="center"/>
    </xf>
    <xf numFmtId="0" fontId="2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" fillId="32" borderId="0">
      <alignment vertical="center"/>
    </xf>
    <xf numFmtId="0" fontId="2" fillId="33" borderId="0">
      <alignment vertical="center"/>
    </xf>
    <xf numFmtId="0" fontId="25" fillId="34" borderId="0">
      <alignment vertical="center"/>
    </xf>
  </cellStyleXfs>
  <cellXfs count="39">
    <xf numFmtId="0" fontId="0" fillId="0" borderId="0" xfId="0" applyAlignme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176" fontId="1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3" fontId="4" fillId="3" borderId="2" xfId="1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176" fontId="3" fillId="3" borderId="2" xfId="0" applyNumberFormat="1" applyFont="1" applyFill="1" applyBorder="1" applyAlignment="1">
      <alignment horizontal="center" vertical="center"/>
    </xf>
    <xf numFmtId="43" fontId="3" fillId="2" borderId="2" xfId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3" fontId="5" fillId="0" borderId="2" xfId="1" applyFont="1" applyBorder="1" applyAlignment="1">
      <alignment vertical="top"/>
    </xf>
    <xf numFmtId="177" fontId="5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/>
    <xf numFmtId="0" fontId="0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7" fontId="5" fillId="2" borderId="2" xfId="0" applyNumberFormat="1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0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43" fontId="2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4"/>
  <sheetViews>
    <sheetView tabSelected="1" workbookViewId="0">
      <selection activeCell="I9" sqref="I9"/>
    </sheetView>
  </sheetViews>
  <sheetFormatPr defaultColWidth="9" defaultRowHeight="13.5"/>
  <cols>
    <col min="5" max="5" width="16.875" customWidth="1"/>
    <col min="6" max="6" width="25.125" customWidth="1"/>
  </cols>
  <sheetData>
    <row r="1" ht="18.75" spans="1:19">
      <c r="A1" s="1">
        <v>46204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3">
        <v>46204</v>
      </c>
      <c r="N1" s="3"/>
      <c r="O1" s="3"/>
      <c r="P1" s="3"/>
      <c r="Q1" s="3"/>
      <c r="R1" s="3"/>
      <c r="S1" s="3"/>
    </row>
    <row r="2" ht="14.25" spans="1:19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4" t="s">
        <v>7</v>
      </c>
      <c r="I2" s="8"/>
      <c r="J2" s="8"/>
      <c r="K2" s="4" t="s">
        <v>8</v>
      </c>
      <c r="L2" s="9" t="s">
        <v>2</v>
      </c>
      <c r="M2" s="5" t="s">
        <v>9</v>
      </c>
      <c r="N2" s="10" t="s">
        <v>10</v>
      </c>
      <c r="O2" s="11" t="s">
        <v>11</v>
      </c>
      <c r="P2" s="5" t="s">
        <v>12</v>
      </c>
      <c r="Q2" s="12" t="s">
        <v>13</v>
      </c>
      <c r="R2" s="5" t="s">
        <v>14</v>
      </c>
      <c r="S2" s="13" t="s">
        <v>7</v>
      </c>
    </row>
    <row r="3" ht="14.25" spans="1:19">
      <c r="A3" s="14">
        <v>1</v>
      </c>
      <c r="B3" s="15">
        <v>247</v>
      </c>
      <c r="C3" s="14">
        <v>201</v>
      </c>
      <c r="D3" s="14" t="s">
        <v>15</v>
      </c>
      <c r="E3" s="16">
        <f>121-97</f>
        <v>24</v>
      </c>
      <c r="F3" s="17">
        <f t="shared" ref="F3:F6" si="0">E3*0.49</f>
        <v>11.76</v>
      </c>
      <c r="G3" s="18"/>
      <c r="H3" s="2"/>
      <c r="I3" s="2"/>
      <c r="J3" s="2"/>
      <c r="K3" s="13">
        <v>247</v>
      </c>
      <c r="L3" s="13">
        <v>201</v>
      </c>
      <c r="M3" s="12">
        <v>1078</v>
      </c>
      <c r="N3" s="12">
        <v>527.8</v>
      </c>
      <c r="O3" s="19">
        <f t="shared" ref="O3:O6" si="1">N3/M3</f>
        <v>0.48961038961039</v>
      </c>
      <c r="P3" s="12">
        <f>E7</f>
        <v>739</v>
      </c>
      <c r="Q3" s="20">
        <f t="shared" ref="Q3:Q6" si="2">M3-P3</f>
        <v>339</v>
      </c>
      <c r="R3" s="21">
        <f t="shared" ref="R3:R6" si="3">Q3*O3</f>
        <v>165.977922077922</v>
      </c>
      <c r="S3" s="22"/>
    </row>
    <row r="4" ht="14.25" spans="1:19">
      <c r="A4" s="14">
        <v>2</v>
      </c>
      <c r="B4" s="14">
        <v>247</v>
      </c>
      <c r="C4" s="14">
        <v>201</v>
      </c>
      <c r="D4" s="14" t="s">
        <v>16</v>
      </c>
      <c r="E4" s="23">
        <f>914-810</f>
        <v>104</v>
      </c>
      <c r="F4" s="17">
        <f t="shared" si="0"/>
        <v>50.96</v>
      </c>
      <c r="G4" s="18">
        <f t="shared" ref="G4:G6" si="4">F4/2</f>
        <v>25.48</v>
      </c>
      <c r="H4" s="2"/>
      <c r="I4" s="2"/>
      <c r="J4" s="2"/>
      <c r="K4" s="13">
        <v>247</v>
      </c>
      <c r="L4" s="13">
        <v>202</v>
      </c>
      <c r="M4" s="12">
        <v>913</v>
      </c>
      <c r="N4" s="12">
        <v>484.1</v>
      </c>
      <c r="O4" s="19">
        <f t="shared" si="1"/>
        <v>0.530230010952903</v>
      </c>
      <c r="P4" s="12">
        <f>E12</f>
        <v>689</v>
      </c>
      <c r="Q4" s="20">
        <f t="shared" si="2"/>
        <v>224</v>
      </c>
      <c r="R4" s="21">
        <f t="shared" si="3"/>
        <v>118.77152245345</v>
      </c>
      <c r="S4" s="22"/>
    </row>
    <row r="5" ht="14.25" spans="1:19">
      <c r="A5" s="14">
        <v>3</v>
      </c>
      <c r="B5" s="14">
        <v>247</v>
      </c>
      <c r="C5" s="14">
        <v>201</v>
      </c>
      <c r="D5" s="14" t="s">
        <v>17</v>
      </c>
      <c r="E5" s="23">
        <f>2798-2454</f>
        <v>344</v>
      </c>
      <c r="F5" s="17">
        <f t="shared" si="0"/>
        <v>168.56</v>
      </c>
      <c r="G5" s="18">
        <f t="shared" si="4"/>
        <v>84.28</v>
      </c>
      <c r="H5" s="2"/>
      <c r="I5" s="2"/>
      <c r="J5" s="2"/>
      <c r="K5" s="13">
        <v>248</v>
      </c>
      <c r="L5" s="13">
        <v>301</v>
      </c>
      <c r="M5" s="24">
        <v>909</v>
      </c>
      <c r="N5" s="24">
        <v>403.7</v>
      </c>
      <c r="O5" s="19">
        <f t="shared" si="1"/>
        <v>0.444114411441144</v>
      </c>
      <c r="P5" s="12">
        <f>E18</f>
        <v>830</v>
      </c>
      <c r="Q5" s="25">
        <f t="shared" si="2"/>
        <v>79</v>
      </c>
      <c r="R5" s="26">
        <f t="shared" si="3"/>
        <v>35.0850385038504</v>
      </c>
      <c r="S5" s="22"/>
    </row>
    <row r="6" ht="14.25" spans="1:19">
      <c r="A6" s="14">
        <v>4</v>
      </c>
      <c r="B6" s="14">
        <v>247</v>
      </c>
      <c r="C6" s="14">
        <v>201</v>
      </c>
      <c r="D6" s="14" t="s">
        <v>18</v>
      </c>
      <c r="E6" s="23">
        <f>2137-1870</f>
        <v>267</v>
      </c>
      <c r="F6" s="17">
        <f t="shared" si="0"/>
        <v>130.83</v>
      </c>
      <c r="G6" s="18">
        <f t="shared" si="4"/>
        <v>65.415</v>
      </c>
      <c r="H6" s="2"/>
      <c r="I6" s="2"/>
      <c r="J6" s="2"/>
      <c r="K6" s="13">
        <v>248</v>
      </c>
      <c r="L6" s="13">
        <v>302</v>
      </c>
      <c r="M6" s="24">
        <v>1101</v>
      </c>
      <c r="N6" s="24">
        <v>551.6</v>
      </c>
      <c r="O6" s="19">
        <f t="shared" si="1"/>
        <v>0.500999091734787</v>
      </c>
      <c r="P6" s="12">
        <f>E24</f>
        <v>913</v>
      </c>
      <c r="Q6" s="25">
        <f t="shared" si="2"/>
        <v>188</v>
      </c>
      <c r="R6" s="26">
        <f t="shared" si="3"/>
        <v>94.1878292461399</v>
      </c>
      <c r="S6" s="22"/>
    </row>
    <row r="7" ht="14.25" spans="1:19">
      <c r="A7" s="27" t="s">
        <v>19</v>
      </c>
      <c r="B7" s="27"/>
      <c r="C7" s="27"/>
      <c r="D7" s="27"/>
      <c r="E7" s="28">
        <f>E3+E4+E5+E6</f>
        <v>739</v>
      </c>
      <c r="F7" s="29"/>
      <c r="G7" s="18"/>
      <c r="H7" s="2"/>
      <c r="I7" s="2"/>
      <c r="J7" s="2"/>
      <c r="K7" s="4">
        <v>248</v>
      </c>
      <c r="L7" s="4">
        <v>401</v>
      </c>
      <c r="M7" s="12"/>
      <c r="N7" s="12"/>
      <c r="O7" s="19"/>
      <c r="P7" s="12"/>
      <c r="Q7" s="20"/>
      <c r="R7" s="30"/>
      <c r="S7" s="22"/>
    </row>
    <row r="8" ht="14.25" spans="1:19">
      <c r="A8" s="14">
        <v>1</v>
      </c>
      <c r="B8" s="15">
        <v>247</v>
      </c>
      <c r="C8" s="14">
        <v>202</v>
      </c>
      <c r="D8" s="14" t="s">
        <v>15</v>
      </c>
      <c r="E8" s="23">
        <f>1942-1835</f>
        <v>107</v>
      </c>
      <c r="F8" s="17">
        <f t="shared" ref="F8:F11" si="5">E8*0.53</f>
        <v>56.71</v>
      </c>
      <c r="G8" s="18"/>
      <c r="H8" s="2"/>
      <c r="I8" s="2"/>
      <c r="J8" s="2"/>
      <c r="K8" s="13">
        <v>248</v>
      </c>
      <c r="L8" s="13">
        <v>402</v>
      </c>
      <c r="M8" s="31">
        <v>1194</v>
      </c>
      <c r="N8" s="24">
        <v>585.1</v>
      </c>
      <c r="O8" s="19">
        <f t="shared" ref="O8:O12" si="6">N8/M8</f>
        <v>0.490033500837521</v>
      </c>
      <c r="P8" s="12">
        <f>E36</f>
        <v>1083</v>
      </c>
      <c r="Q8" s="20">
        <f t="shared" ref="Q8:Q12" si="7">M8-P8</f>
        <v>111</v>
      </c>
      <c r="R8" s="26">
        <f t="shared" ref="R8:R12" si="8">Q8*O8</f>
        <v>54.3937185929648</v>
      </c>
      <c r="S8" s="22"/>
    </row>
    <row r="9" ht="14.25" spans="1:19">
      <c r="A9" s="14">
        <v>2</v>
      </c>
      <c r="B9" s="14">
        <v>247</v>
      </c>
      <c r="C9" s="14">
        <v>202</v>
      </c>
      <c r="D9" s="14" t="s">
        <v>16</v>
      </c>
      <c r="E9" s="23">
        <f>1742-1565</f>
        <v>177</v>
      </c>
      <c r="F9" s="17">
        <f t="shared" si="5"/>
        <v>93.81</v>
      </c>
      <c r="G9" s="18"/>
      <c r="H9" s="2"/>
      <c r="I9" s="2"/>
      <c r="J9" s="2"/>
      <c r="K9" s="13">
        <v>249</v>
      </c>
      <c r="L9" s="13">
        <v>301</v>
      </c>
      <c r="M9" s="24">
        <v>1429</v>
      </c>
      <c r="N9" s="24">
        <v>1074.9</v>
      </c>
      <c r="O9" s="19">
        <f t="shared" si="6"/>
        <v>0.752204338698391</v>
      </c>
      <c r="P9" s="12">
        <f>E42</f>
        <v>1062</v>
      </c>
      <c r="Q9" s="20">
        <f t="shared" si="7"/>
        <v>367</v>
      </c>
      <c r="R9" s="26">
        <f t="shared" si="8"/>
        <v>276.058992302309</v>
      </c>
      <c r="S9" s="22"/>
    </row>
    <row r="10" ht="14.25" spans="1:19">
      <c r="A10" s="14">
        <v>3</v>
      </c>
      <c r="B10" s="14">
        <v>247</v>
      </c>
      <c r="C10" s="14">
        <v>202</v>
      </c>
      <c r="D10" s="14" t="s">
        <v>17</v>
      </c>
      <c r="E10" s="23">
        <f>1800-1543</f>
        <v>257</v>
      </c>
      <c r="F10" s="17">
        <f t="shared" si="5"/>
        <v>136.21</v>
      </c>
      <c r="G10" s="18">
        <f>F10/2</f>
        <v>68.105</v>
      </c>
      <c r="H10" s="2"/>
      <c r="I10" s="2"/>
      <c r="J10" s="2"/>
      <c r="K10" s="13">
        <v>249</v>
      </c>
      <c r="L10" s="13">
        <v>302</v>
      </c>
      <c r="M10" s="24">
        <v>1233</v>
      </c>
      <c r="N10" s="12">
        <v>752.7</v>
      </c>
      <c r="O10" s="19">
        <f t="shared" si="6"/>
        <v>0.610462287104623</v>
      </c>
      <c r="P10" s="12">
        <f>E48</f>
        <v>898</v>
      </c>
      <c r="Q10" s="20">
        <f t="shared" si="7"/>
        <v>335</v>
      </c>
      <c r="R10" s="21">
        <f t="shared" si="8"/>
        <v>204.504866180049</v>
      </c>
      <c r="S10" s="22"/>
    </row>
    <row r="11" ht="14.25" spans="1:19">
      <c r="A11" s="14">
        <v>4</v>
      </c>
      <c r="B11" s="14">
        <v>247</v>
      </c>
      <c r="C11" s="14">
        <v>202</v>
      </c>
      <c r="D11" s="14" t="s">
        <v>18</v>
      </c>
      <c r="E11" s="23">
        <f>1730-1582</f>
        <v>148</v>
      </c>
      <c r="F11" s="17">
        <f t="shared" si="5"/>
        <v>78.44</v>
      </c>
      <c r="G11" s="18"/>
      <c r="H11" s="2"/>
      <c r="I11" s="2"/>
      <c r="J11" s="2"/>
      <c r="K11" s="13">
        <v>249</v>
      </c>
      <c r="L11" s="13">
        <v>401</v>
      </c>
      <c r="M11" s="24">
        <v>1265</v>
      </c>
      <c r="N11" s="12">
        <v>719.2</v>
      </c>
      <c r="O11" s="19">
        <f t="shared" si="6"/>
        <v>0.568537549407115</v>
      </c>
      <c r="P11" s="12">
        <f>E54</f>
        <v>914</v>
      </c>
      <c r="Q11" s="20">
        <f t="shared" si="7"/>
        <v>351</v>
      </c>
      <c r="R11" s="21">
        <f t="shared" si="8"/>
        <v>199.556679841897</v>
      </c>
      <c r="S11" s="22"/>
    </row>
    <row r="12" ht="14.25" spans="1:19">
      <c r="A12" s="32" t="s">
        <v>19</v>
      </c>
      <c r="B12" s="32"/>
      <c r="C12" s="32"/>
      <c r="D12" s="32"/>
      <c r="E12" s="28">
        <f>+E8+E9+E10+E11</f>
        <v>689</v>
      </c>
      <c r="F12" s="29"/>
      <c r="G12" s="18"/>
      <c r="H12" s="2"/>
      <c r="I12" s="2"/>
      <c r="J12" s="2"/>
      <c r="K12" s="13">
        <v>249</v>
      </c>
      <c r="L12" s="13">
        <v>402</v>
      </c>
      <c r="M12" s="24">
        <v>1279</v>
      </c>
      <c r="N12" s="24">
        <v>632.3</v>
      </c>
      <c r="O12" s="19">
        <f t="shared" si="6"/>
        <v>0.494370602032838</v>
      </c>
      <c r="P12" s="12">
        <f>E60</f>
        <v>1039</v>
      </c>
      <c r="Q12" s="25">
        <f t="shared" si="7"/>
        <v>240</v>
      </c>
      <c r="R12" s="26">
        <f t="shared" si="8"/>
        <v>118.648944487881</v>
      </c>
      <c r="S12" s="22"/>
    </row>
    <row r="13" ht="14.25" spans="1:19">
      <c r="A13" s="14">
        <v>1</v>
      </c>
      <c r="B13" s="15">
        <v>248</v>
      </c>
      <c r="C13" s="14">
        <v>301</v>
      </c>
      <c r="D13" s="14" t="s">
        <v>15</v>
      </c>
      <c r="E13" s="23">
        <f>1660-1570</f>
        <v>90</v>
      </c>
      <c r="F13" s="17">
        <f t="shared" ref="F13:F17" si="9">E13*0.44</f>
        <v>39.6</v>
      </c>
      <c r="G13" s="18"/>
      <c r="H13" s="2"/>
      <c r="I13" s="2"/>
      <c r="J13" s="2"/>
      <c r="K13" s="4">
        <v>250</v>
      </c>
      <c r="L13" s="13">
        <v>202</v>
      </c>
      <c r="M13" s="24"/>
      <c r="N13" s="12"/>
      <c r="O13" s="19"/>
      <c r="P13" s="12"/>
      <c r="Q13" s="20"/>
      <c r="R13" s="30"/>
      <c r="S13" s="22"/>
    </row>
    <row r="14" ht="14.25" spans="1:19">
      <c r="A14" s="14">
        <v>2</v>
      </c>
      <c r="B14" s="14">
        <v>248</v>
      </c>
      <c r="C14" s="14">
        <v>301</v>
      </c>
      <c r="D14" s="14" t="s">
        <v>20</v>
      </c>
      <c r="E14" s="23">
        <f>3418-3132</f>
        <v>286</v>
      </c>
      <c r="F14" s="17">
        <f t="shared" si="9"/>
        <v>125.84</v>
      </c>
      <c r="G14" s="18"/>
      <c r="H14" s="2"/>
      <c r="I14" s="2"/>
      <c r="J14" s="2"/>
      <c r="K14" s="4">
        <v>250</v>
      </c>
      <c r="L14" s="13">
        <v>302</v>
      </c>
      <c r="M14" s="24"/>
      <c r="N14" s="12"/>
      <c r="O14" s="19"/>
      <c r="P14" s="12"/>
      <c r="Q14" s="20"/>
      <c r="R14" s="30"/>
      <c r="S14" s="22"/>
    </row>
    <row r="15" ht="14.25" spans="1:19">
      <c r="A15" s="14">
        <v>3</v>
      </c>
      <c r="B15" s="14">
        <v>248</v>
      </c>
      <c r="C15" s="14">
        <v>301</v>
      </c>
      <c r="D15" s="14" t="s">
        <v>16</v>
      </c>
      <c r="E15" s="23">
        <f>1229-1050</f>
        <v>179</v>
      </c>
      <c r="F15" s="17">
        <f t="shared" si="9"/>
        <v>78.76</v>
      </c>
      <c r="G15" s="18">
        <f>F15/2</f>
        <v>39.38</v>
      </c>
      <c r="H15" s="2"/>
      <c r="I15" s="2"/>
      <c r="J15" s="2"/>
      <c r="K15" s="13">
        <v>250</v>
      </c>
      <c r="L15" s="13">
        <v>401</v>
      </c>
      <c r="M15" s="24">
        <v>591</v>
      </c>
      <c r="N15" s="12">
        <v>307.6</v>
      </c>
      <c r="O15" s="19">
        <f>N15/M15</f>
        <v>0.520473773265651</v>
      </c>
      <c r="P15" s="12">
        <f>E78</f>
        <v>436</v>
      </c>
      <c r="Q15" s="20">
        <f>M15-P15</f>
        <v>155</v>
      </c>
      <c r="R15" s="21">
        <f>Q15*O15</f>
        <v>80.673434856176</v>
      </c>
      <c r="S15" s="22"/>
    </row>
    <row r="16" ht="14.25" spans="1:19">
      <c r="A16" s="14">
        <v>4</v>
      </c>
      <c r="B16" s="14">
        <v>248</v>
      </c>
      <c r="C16" s="14">
        <v>301</v>
      </c>
      <c r="D16" s="14" t="s">
        <v>17</v>
      </c>
      <c r="E16" s="33">
        <f>2617-2434</f>
        <v>183</v>
      </c>
      <c r="F16" s="34">
        <f t="shared" si="9"/>
        <v>80.52</v>
      </c>
      <c r="G16" s="18">
        <f>F16/2</f>
        <v>40.26</v>
      </c>
      <c r="H16" s="2"/>
      <c r="I16" s="2"/>
      <c r="J16" s="2"/>
      <c r="K16" s="13">
        <v>250</v>
      </c>
      <c r="L16" s="13">
        <v>402</v>
      </c>
      <c r="M16" s="24">
        <v>1168</v>
      </c>
      <c r="N16" s="12">
        <v>578.6</v>
      </c>
      <c r="O16" s="19">
        <f>N16/M16</f>
        <v>0.495376712328767</v>
      </c>
      <c r="P16" s="12">
        <f>E84</f>
        <v>847</v>
      </c>
      <c r="Q16" s="20">
        <f>M16-P16</f>
        <v>321</v>
      </c>
      <c r="R16" s="21">
        <f>Q16*O16</f>
        <v>159.015924657534</v>
      </c>
      <c r="S16" s="22"/>
    </row>
    <row r="17" spans="1:19">
      <c r="A17" s="14">
        <v>5</v>
      </c>
      <c r="B17" s="14">
        <v>248</v>
      </c>
      <c r="C17" s="14">
        <v>301</v>
      </c>
      <c r="D17" s="14" t="s">
        <v>18</v>
      </c>
      <c r="E17" s="23">
        <f>983-891</f>
        <v>92</v>
      </c>
      <c r="F17" s="17">
        <f t="shared" si="9"/>
        <v>40.48</v>
      </c>
      <c r="G17" s="1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27" t="s">
        <v>19</v>
      </c>
      <c r="B18" s="27"/>
      <c r="C18" s="27"/>
      <c r="D18" s="27"/>
      <c r="E18" s="28">
        <f>E13+E14+E15+E16+E17</f>
        <v>830</v>
      </c>
      <c r="F18" s="29"/>
      <c r="G18" s="1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>
      <c r="A19" s="14">
        <v>1</v>
      </c>
      <c r="B19" s="15">
        <v>248</v>
      </c>
      <c r="C19" s="14">
        <v>302</v>
      </c>
      <c r="D19" s="14" t="s">
        <v>15</v>
      </c>
      <c r="E19" s="23">
        <f>1246-1154</f>
        <v>92</v>
      </c>
      <c r="F19" s="17">
        <f t="shared" ref="F19:F23" si="10">E19*0.5</f>
        <v>46</v>
      </c>
      <c r="G19" s="1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14">
        <v>2</v>
      </c>
      <c r="B20" s="14">
        <v>248</v>
      </c>
      <c r="C20" s="14">
        <v>302</v>
      </c>
      <c r="D20" s="14" t="s">
        <v>20</v>
      </c>
      <c r="E20" s="23">
        <f>1371-1266</f>
        <v>105</v>
      </c>
      <c r="F20" s="17">
        <f t="shared" si="10"/>
        <v>52.5</v>
      </c>
      <c r="G20" s="1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14">
        <v>3</v>
      </c>
      <c r="B21" s="14">
        <v>248</v>
      </c>
      <c r="C21" s="14">
        <v>302</v>
      </c>
      <c r="D21" s="14" t="s">
        <v>16</v>
      </c>
      <c r="E21" s="23">
        <f>3896-3762</f>
        <v>134</v>
      </c>
      <c r="F21" s="17">
        <f t="shared" si="10"/>
        <v>67</v>
      </c>
      <c r="G21" s="18">
        <f t="shared" ref="G21:G23" si="11">F21/2</f>
        <v>33.5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14">
        <v>4</v>
      </c>
      <c r="B22" s="14">
        <v>248</v>
      </c>
      <c r="C22" s="14">
        <v>302</v>
      </c>
      <c r="D22" s="14" t="s">
        <v>17</v>
      </c>
      <c r="E22" s="23">
        <f>2573-2158</f>
        <v>415</v>
      </c>
      <c r="F22" s="17">
        <f t="shared" si="10"/>
        <v>207.5</v>
      </c>
      <c r="G22" s="18">
        <f t="shared" si="11"/>
        <v>103.75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14">
        <v>5</v>
      </c>
      <c r="B23" s="14">
        <v>248</v>
      </c>
      <c r="C23" s="14">
        <v>302</v>
      </c>
      <c r="D23" s="14" t="s">
        <v>18</v>
      </c>
      <c r="E23" s="23">
        <f>2249-2082</f>
        <v>167</v>
      </c>
      <c r="F23" s="17">
        <f t="shared" si="10"/>
        <v>83.5</v>
      </c>
      <c r="G23" s="18">
        <f t="shared" si="11"/>
        <v>41.75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27" t="s">
        <v>19</v>
      </c>
      <c r="B24" s="27"/>
      <c r="C24" s="27"/>
      <c r="D24" s="27"/>
      <c r="E24" s="28">
        <f>E19+E20+E21+E22+E23</f>
        <v>913</v>
      </c>
      <c r="F24" s="35"/>
      <c r="G24" s="1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>
      <c r="A25" s="14">
        <v>1</v>
      </c>
      <c r="B25" s="32">
        <v>248</v>
      </c>
      <c r="C25" s="14">
        <v>401</v>
      </c>
      <c r="D25" s="14" t="s">
        <v>15</v>
      </c>
      <c r="E25" s="23"/>
      <c r="F25" s="23">
        <f t="shared" ref="F25:F29" si="12">E25*0.57</f>
        <v>0</v>
      </c>
      <c r="G25" s="18">
        <f t="shared" ref="G25:G29" si="13">F25/2</f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14">
        <v>2</v>
      </c>
      <c r="B26" s="14">
        <v>248</v>
      </c>
      <c r="C26" s="14">
        <v>401</v>
      </c>
      <c r="D26" s="14" t="s">
        <v>20</v>
      </c>
      <c r="E26" s="23"/>
      <c r="F26" s="23">
        <f t="shared" si="12"/>
        <v>0</v>
      </c>
      <c r="G26" s="18">
        <f t="shared" si="13"/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14">
        <v>3</v>
      </c>
      <c r="B27" s="14">
        <v>248</v>
      </c>
      <c r="C27" s="14">
        <v>401</v>
      </c>
      <c r="D27" s="14" t="s">
        <v>16</v>
      </c>
      <c r="E27" s="23"/>
      <c r="F27" s="23">
        <f t="shared" si="12"/>
        <v>0</v>
      </c>
      <c r="G27" s="18">
        <f t="shared" si="13"/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14">
        <v>4</v>
      </c>
      <c r="B28" s="14">
        <v>248</v>
      </c>
      <c r="C28" s="14">
        <v>401</v>
      </c>
      <c r="D28" s="14" t="s">
        <v>17</v>
      </c>
      <c r="E28" s="23"/>
      <c r="F28" s="23">
        <f t="shared" si="12"/>
        <v>0</v>
      </c>
      <c r="G28" s="18">
        <f t="shared" si="13"/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14">
        <v>5</v>
      </c>
      <c r="B29" s="14">
        <v>248</v>
      </c>
      <c r="C29" s="14">
        <v>401</v>
      </c>
      <c r="D29" s="14" t="s">
        <v>18</v>
      </c>
      <c r="E29" s="23"/>
      <c r="F29" s="23">
        <f t="shared" si="12"/>
        <v>0</v>
      </c>
      <c r="G29" s="18">
        <f t="shared" si="13"/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27" t="s">
        <v>19</v>
      </c>
      <c r="B30" s="27"/>
      <c r="C30" s="27"/>
      <c r="D30" s="27"/>
      <c r="E30" s="28">
        <f>E25+E26+E27+E28+E29</f>
        <v>0</v>
      </c>
      <c r="F30" s="35"/>
      <c r="G30" s="1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>
      <c r="A31" s="14">
        <v>1</v>
      </c>
      <c r="B31" s="15">
        <v>248</v>
      </c>
      <c r="C31" s="14">
        <v>402</v>
      </c>
      <c r="D31" s="14" t="s">
        <v>15</v>
      </c>
      <c r="E31" s="23">
        <f>1664-1545</f>
        <v>119</v>
      </c>
      <c r="F31" s="17">
        <f t="shared" ref="F31:F35" si="14">E31*0.49</f>
        <v>58.31</v>
      </c>
      <c r="G31" s="1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14">
        <v>2</v>
      </c>
      <c r="B32" s="14">
        <v>248</v>
      </c>
      <c r="C32" s="14">
        <v>402</v>
      </c>
      <c r="D32" s="14" t="s">
        <v>20</v>
      </c>
      <c r="E32" s="23">
        <f>1428-1132</f>
        <v>296</v>
      </c>
      <c r="F32" s="17">
        <f t="shared" si="14"/>
        <v>145.04</v>
      </c>
      <c r="G32" s="1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14">
        <v>3</v>
      </c>
      <c r="B33" s="14">
        <v>248</v>
      </c>
      <c r="C33" s="14">
        <v>402</v>
      </c>
      <c r="D33" s="14" t="s">
        <v>16</v>
      </c>
      <c r="E33" s="23">
        <f>2846-2710</f>
        <v>136</v>
      </c>
      <c r="F33" s="17">
        <f t="shared" si="14"/>
        <v>66.64</v>
      </c>
      <c r="G33" s="1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14">
        <v>4</v>
      </c>
      <c r="B34" s="14">
        <v>248</v>
      </c>
      <c r="C34" s="14">
        <v>402</v>
      </c>
      <c r="D34" s="14" t="s">
        <v>17</v>
      </c>
      <c r="E34" s="23">
        <f>3352-2942</f>
        <v>410</v>
      </c>
      <c r="F34" s="17">
        <f t="shared" si="14"/>
        <v>200.9</v>
      </c>
      <c r="G34" s="18">
        <f>F34/2</f>
        <v>100.45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14">
        <v>5</v>
      </c>
      <c r="B35" s="14">
        <v>248</v>
      </c>
      <c r="C35" s="14">
        <v>402</v>
      </c>
      <c r="D35" s="14" t="s">
        <v>18</v>
      </c>
      <c r="E35" s="23">
        <f>1300-1178</f>
        <v>122</v>
      </c>
      <c r="F35" s="17">
        <f t="shared" si="14"/>
        <v>59.78</v>
      </c>
      <c r="G35" s="18"/>
      <c r="H35" s="36"/>
      <c r="I35" s="36"/>
      <c r="J35" s="36"/>
      <c r="K35" s="36"/>
      <c r="L35" s="2"/>
      <c r="M35" s="2"/>
      <c r="N35" s="2"/>
      <c r="O35" s="2"/>
      <c r="P35" s="2"/>
      <c r="Q35" s="2"/>
      <c r="R35" s="2"/>
      <c r="S35" s="2"/>
    </row>
    <row r="36" spans="1:19">
      <c r="A36" s="27" t="s">
        <v>19</v>
      </c>
      <c r="B36" s="27"/>
      <c r="C36" s="27"/>
      <c r="D36" s="27"/>
      <c r="E36" s="28">
        <f>E31+E32+E33+E34+E35</f>
        <v>1083</v>
      </c>
      <c r="F36" s="29"/>
      <c r="G36" s="1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>
      <c r="A37" s="14">
        <v>1</v>
      </c>
      <c r="B37" s="15">
        <v>249</v>
      </c>
      <c r="C37" s="14">
        <v>301</v>
      </c>
      <c r="D37" s="14" t="s">
        <v>15</v>
      </c>
      <c r="E37" s="23">
        <f>298-298</f>
        <v>0</v>
      </c>
      <c r="F37" s="17">
        <f>E37*0.56</f>
        <v>0</v>
      </c>
      <c r="G37" s="1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14">
        <v>2</v>
      </c>
      <c r="B38" s="14">
        <v>249</v>
      </c>
      <c r="C38" s="14">
        <v>301</v>
      </c>
      <c r="D38" s="14" t="s">
        <v>20</v>
      </c>
      <c r="E38" s="23">
        <f>7426-7058</f>
        <v>368</v>
      </c>
      <c r="F38" s="17">
        <f t="shared" ref="F38:F41" si="15">E38*0.75</f>
        <v>276</v>
      </c>
      <c r="G38" s="1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14">
        <v>3</v>
      </c>
      <c r="B39" s="14">
        <v>249</v>
      </c>
      <c r="C39" s="14">
        <v>301</v>
      </c>
      <c r="D39" s="14" t="s">
        <v>16</v>
      </c>
      <c r="E39" s="23">
        <f>2573-2303</f>
        <v>270</v>
      </c>
      <c r="F39" s="17">
        <f t="shared" si="15"/>
        <v>202.5</v>
      </c>
      <c r="G39" s="18">
        <f>F39/2</f>
        <v>101.25</v>
      </c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14">
        <v>4</v>
      </c>
      <c r="B40" s="14">
        <v>249</v>
      </c>
      <c r="C40" s="14">
        <v>301</v>
      </c>
      <c r="D40" s="14" t="s">
        <v>17</v>
      </c>
      <c r="E40" s="23">
        <f>2838-2567</f>
        <v>271</v>
      </c>
      <c r="F40" s="17">
        <f t="shared" si="15"/>
        <v>203.25</v>
      </c>
      <c r="G40" s="18">
        <f>F40/2</f>
        <v>101.625</v>
      </c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14">
        <v>5</v>
      </c>
      <c r="B41" s="14">
        <v>249</v>
      </c>
      <c r="C41" s="14">
        <v>301</v>
      </c>
      <c r="D41" s="14" t="s">
        <v>18</v>
      </c>
      <c r="E41" s="23">
        <f>1884-1731</f>
        <v>153</v>
      </c>
      <c r="F41" s="17">
        <f t="shared" si="15"/>
        <v>114.75</v>
      </c>
      <c r="G41" s="18"/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27" t="s">
        <v>19</v>
      </c>
      <c r="B42" s="27"/>
      <c r="C42" s="27"/>
      <c r="D42" s="27"/>
      <c r="E42" s="28">
        <f>E38+E37+E39+E40+E41</f>
        <v>1062</v>
      </c>
      <c r="F42" s="29"/>
      <c r="G42" s="1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>
      <c r="A43" s="14">
        <v>1</v>
      </c>
      <c r="B43" s="15">
        <v>249</v>
      </c>
      <c r="C43" s="14">
        <v>302</v>
      </c>
      <c r="D43" s="14" t="s">
        <v>15</v>
      </c>
      <c r="E43" s="23">
        <f>1295-1028</f>
        <v>267</v>
      </c>
      <c r="F43" s="17">
        <f t="shared" ref="F43:F47" si="16">E43*0.61</f>
        <v>162.87</v>
      </c>
      <c r="G43" s="18"/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14">
        <v>2</v>
      </c>
      <c r="B44" s="14">
        <v>249</v>
      </c>
      <c r="C44" s="14">
        <v>302</v>
      </c>
      <c r="D44" s="14" t="s">
        <v>20</v>
      </c>
      <c r="E44" s="23">
        <f>3819-3645</f>
        <v>174</v>
      </c>
      <c r="F44" s="17">
        <f t="shared" si="16"/>
        <v>106.14</v>
      </c>
      <c r="G44" s="18"/>
      <c r="H44" s="1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14">
        <v>3</v>
      </c>
      <c r="B45" s="14">
        <v>249</v>
      </c>
      <c r="C45" s="14">
        <v>302</v>
      </c>
      <c r="D45" s="14" t="s">
        <v>16</v>
      </c>
      <c r="E45" s="23">
        <f>1906-1695</f>
        <v>211</v>
      </c>
      <c r="F45" s="17">
        <f t="shared" si="16"/>
        <v>128.71</v>
      </c>
      <c r="G45" s="18">
        <f>F45/2</f>
        <v>64.355</v>
      </c>
      <c r="H45" s="3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14">
        <v>4</v>
      </c>
      <c r="B46" s="14">
        <v>249</v>
      </c>
      <c r="C46" s="14">
        <v>302</v>
      </c>
      <c r="D46" s="14" t="s">
        <v>17</v>
      </c>
      <c r="E46" s="23">
        <f>1458-1274</f>
        <v>184</v>
      </c>
      <c r="F46" s="17">
        <f t="shared" si="16"/>
        <v>112.24</v>
      </c>
      <c r="G46" s="18">
        <f>F46/2</f>
        <v>56.12</v>
      </c>
      <c r="H46" s="3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14">
        <v>5</v>
      </c>
      <c r="B47" s="14">
        <v>249</v>
      </c>
      <c r="C47" s="14">
        <v>302</v>
      </c>
      <c r="D47" s="14" t="s">
        <v>18</v>
      </c>
      <c r="E47" s="23">
        <f>2455-2393</f>
        <v>62</v>
      </c>
      <c r="F47" s="17">
        <f t="shared" si="16"/>
        <v>37.82</v>
      </c>
      <c r="G47" s="18"/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27" t="s">
        <v>19</v>
      </c>
      <c r="B48" s="27"/>
      <c r="C48" s="27"/>
      <c r="D48" s="27"/>
      <c r="E48" s="28">
        <f>E43+E44+E45+E46+E47</f>
        <v>898</v>
      </c>
      <c r="F48" s="29"/>
      <c r="G48" s="1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14">
        <v>1</v>
      </c>
      <c r="B49" s="15">
        <v>249</v>
      </c>
      <c r="C49" s="14">
        <v>401</v>
      </c>
      <c r="D49" s="14" t="s">
        <v>15</v>
      </c>
      <c r="E49" s="23">
        <f>289-246</f>
        <v>43</v>
      </c>
      <c r="F49" s="17">
        <f t="shared" ref="F49:F53" si="17">E49*0.57</f>
        <v>24.51</v>
      </c>
      <c r="G49" s="18"/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14">
        <v>2</v>
      </c>
      <c r="B50" s="14">
        <v>249</v>
      </c>
      <c r="C50" s="14">
        <v>401</v>
      </c>
      <c r="D50" s="14" t="s">
        <v>20</v>
      </c>
      <c r="E50" s="23">
        <f>1409-1336</f>
        <v>73</v>
      </c>
      <c r="F50" s="17">
        <f t="shared" si="17"/>
        <v>41.61</v>
      </c>
      <c r="G50" s="1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14">
        <v>3</v>
      </c>
      <c r="B51" s="14">
        <v>249</v>
      </c>
      <c r="C51" s="14">
        <v>401</v>
      </c>
      <c r="D51" s="14" t="s">
        <v>16</v>
      </c>
      <c r="E51" s="23">
        <f>2082-1834</f>
        <v>248</v>
      </c>
      <c r="F51" s="17">
        <f t="shared" si="17"/>
        <v>141.36</v>
      </c>
      <c r="G51" s="18">
        <f t="shared" ref="G51:G53" si="18">F51/2</f>
        <v>70.68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14">
        <v>4</v>
      </c>
      <c r="B52" s="14">
        <v>249</v>
      </c>
      <c r="C52" s="14">
        <v>401</v>
      </c>
      <c r="D52" s="14" t="s">
        <v>17</v>
      </c>
      <c r="E52" s="23">
        <f>4357-4074</f>
        <v>283</v>
      </c>
      <c r="F52" s="17">
        <f t="shared" si="17"/>
        <v>161.31</v>
      </c>
      <c r="G52" s="18">
        <f t="shared" si="18"/>
        <v>80.655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14">
        <v>5</v>
      </c>
      <c r="B53" s="14">
        <v>249</v>
      </c>
      <c r="C53" s="14">
        <v>401</v>
      </c>
      <c r="D53" s="14" t="s">
        <v>18</v>
      </c>
      <c r="E53" s="23">
        <f>1373-1106</f>
        <v>267</v>
      </c>
      <c r="F53" s="17">
        <f t="shared" si="17"/>
        <v>152.19</v>
      </c>
      <c r="G53" s="18">
        <f t="shared" si="18"/>
        <v>76.095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27" t="s">
        <v>19</v>
      </c>
      <c r="B54" s="27"/>
      <c r="C54" s="27"/>
      <c r="D54" s="27"/>
      <c r="E54" s="28">
        <f>E49+E50+E51+E52+E53</f>
        <v>914</v>
      </c>
      <c r="F54" s="29"/>
      <c r="G54" s="1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>
      <c r="A55" s="14">
        <v>1</v>
      </c>
      <c r="B55" s="15">
        <v>249</v>
      </c>
      <c r="C55" s="14">
        <v>402</v>
      </c>
      <c r="D55" s="14" t="s">
        <v>15</v>
      </c>
      <c r="E55" s="23">
        <f>712-591</f>
        <v>121</v>
      </c>
      <c r="F55" s="17">
        <f t="shared" ref="F55:F59" si="19">E55*0.49</f>
        <v>59.29</v>
      </c>
      <c r="G55" s="1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14">
        <v>2</v>
      </c>
      <c r="B56" s="14">
        <v>249</v>
      </c>
      <c r="C56" s="14">
        <v>402</v>
      </c>
      <c r="D56" s="14" t="s">
        <v>20</v>
      </c>
      <c r="E56" s="23">
        <f>1391-1118</f>
        <v>273</v>
      </c>
      <c r="F56" s="17">
        <f t="shared" si="19"/>
        <v>133.77</v>
      </c>
      <c r="G56" s="1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14">
        <v>3</v>
      </c>
      <c r="B57" s="14">
        <v>249</v>
      </c>
      <c r="C57" s="14">
        <v>402</v>
      </c>
      <c r="D57" s="14" t="s">
        <v>16</v>
      </c>
      <c r="E57" s="23">
        <f>1595-1400</f>
        <v>195</v>
      </c>
      <c r="F57" s="17">
        <f t="shared" si="19"/>
        <v>95.55</v>
      </c>
      <c r="G57" s="18">
        <f t="shared" ref="G57:G65" si="20">F57/2</f>
        <v>47.775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14">
        <v>4</v>
      </c>
      <c r="B58" s="14">
        <v>249</v>
      </c>
      <c r="C58" s="14">
        <v>402</v>
      </c>
      <c r="D58" s="14" t="s">
        <v>17</v>
      </c>
      <c r="E58" s="23">
        <f>2456-2112</f>
        <v>344</v>
      </c>
      <c r="F58" s="17">
        <f t="shared" si="19"/>
        <v>168.56</v>
      </c>
      <c r="G58" s="18">
        <f t="shared" si="20"/>
        <v>84.28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14">
        <v>5</v>
      </c>
      <c r="B59" s="14">
        <v>249</v>
      </c>
      <c r="C59" s="14">
        <v>402</v>
      </c>
      <c r="D59" s="14" t="s">
        <v>18</v>
      </c>
      <c r="E59" s="23">
        <f>4477-4371</f>
        <v>106</v>
      </c>
      <c r="F59" s="17">
        <f t="shared" si="19"/>
        <v>51.94</v>
      </c>
      <c r="G59" s="1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27" t="s">
        <v>19</v>
      </c>
      <c r="B60" s="27"/>
      <c r="C60" s="27"/>
      <c r="D60" s="27"/>
      <c r="E60" s="28">
        <f>E55+E56+E57+E58+E59</f>
        <v>1039</v>
      </c>
      <c r="F60" s="29"/>
      <c r="G60" s="1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>
      <c r="A61" s="14">
        <v>1</v>
      </c>
      <c r="B61" s="32">
        <v>250</v>
      </c>
      <c r="C61" s="14">
        <v>202</v>
      </c>
      <c r="D61" s="14" t="s">
        <v>15</v>
      </c>
      <c r="E61" s="23"/>
      <c r="F61" s="17">
        <f t="shared" ref="F61:F65" si="21">E61*0.76</f>
        <v>0</v>
      </c>
      <c r="G61" s="18">
        <f t="shared" si="20"/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14">
        <v>2</v>
      </c>
      <c r="B62" s="14">
        <v>250</v>
      </c>
      <c r="C62" s="14">
        <v>202</v>
      </c>
      <c r="D62" s="14" t="s">
        <v>20</v>
      </c>
      <c r="E62" s="23"/>
      <c r="F62" s="17">
        <f t="shared" si="21"/>
        <v>0</v>
      </c>
      <c r="G62" s="18">
        <f t="shared" si="20"/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14">
        <v>3</v>
      </c>
      <c r="B63" s="14">
        <v>250</v>
      </c>
      <c r="C63" s="14">
        <v>202</v>
      </c>
      <c r="D63" s="14" t="s">
        <v>16</v>
      </c>
      <c r="E63" s="23"/>
      <c r="F63" s="17">
        <f t="shared" si="21"/>
        <v>0</v>
      </c>
      <c r="G63" s="18">
        <f t="shared" si="20"/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14">
        <v>4</v>
      </c>
      <c r="B64" s="14">
        <v>250</v>
      </c>
      <c r="C64" s="14">
        <v>202</v>
      </c>
      <c r="D64" s="14" t="s">
        <v>17</v>
      </c>
      <c r="E64" s="23"/>
      <c r="F64" s="17">
        <f t="shared" si="21"/>
        <v>0</v>
      </c>
      <c r="G64" s="18">
        <f t="shared" si="20"/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14">
        <v>5</v>
      </c>
      <c r="B65" s="14">
        <v>250</v>
      </c>
      <c r="C65" s="14">
        <v>202</v>
      </c>
      <c r="D65" s="14" t="s">
        <v>18</v>
      </c>
      <c r="E65" s="23"/>
      <c r="F65" s="17">
        <f t="shared" si="21"/>
        <v>0</v>
      </c>
      <c r="G65" s="18">
        <f t="shared" si="20"/>
        <v>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27" t="s">
        <v>19</v>
      </c>
      <c r="B66" s="27"/>
      <c r="C66" s="27"/>
      <c r="D66" s="27"/>
      <c r="E66" s="28">
        <f>E61+E62+E63+E64+E65</f>
        <v>0</v>
      </c>
      <c r="F66" s="29"/>
      <c r="G66" s="1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>
      <c r="A67" s="14">
        <v>1</v>
      </c>
      <c r="B67" s="32">
        <v>250</v>
      </c>
      <c r="C67" s="14">
        <v>302</v>
      </c>
      <c r="D67" s="14" t="s">
        <v>15</v>
      </c>
      <c r="E67" s="23"/>
      <c r="F67" s="17">
        <f t="shared" ref="F67:F71" si="22">E67*0.86</f>
        <v>0</v>
      </c>
      <c r="G67" s="18">
        <f t="shared" ref="G67:G71" si="23">F67/2</f>
        <v>0</v>
      </c>
      <c r="H67" s="2"/>
      <c r="I67" s="37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14">
        <v>2</v>
      </c>
      <c r="B68" s="14">
        <v>250</v>
      </c>
      <c r="C68" s="14">
        <v>302</v>
      </c>
      <c r="D68" s="14" t="s">
        <v>20</v>
      </c>
      <c r="E68" s="23"/>
      <c r="F68" s="17">
        <f t="shared" si="22"/>
        <v>0</v>
      </c>
      <c r="G68" s="18">
        <f t="shared" si="23"/>
        <v>0</v>
      </c>
      <c r="H68" s="2"/>
      <c r="I68" s="37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14">
        <v>3</v>
      </c>
      <c r="B69" s="14">
        <v>250</v>
      </c>
      <c r="C69" s="14">
        <v>302</v>
      </c>
      <c r="D69" s="14" t="s">
        <v>16</v>
      </c>
      <c r="E69" s="23"/>
      <c r="F69" s="17">
        <f t="shared" si="22"/>
        <v>0</v>
      </c>
      <c r="G69" s="18">
        <f t="shared" si="23"/>
        <v>0</v>
      </c>
      <c r="H69" s="2"/>
      <c r="I69" s="37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14">
        <v>4</v>
      </c>
      <c r="B70" s="14">
        <v>250</v>
      </c>
      <c r="C70" s="14">
        <v>302</v>
      </c>
      <c r="D70" s="14" t="s">
        <v>17</v>
      </c>
      <c r="E70" s="23"/>
      <c r="F70" s="17">
        <f t="shared" si="22"/>
        <v>0</v>
      </c>
      <c r="G70" s="18">
        <f t="shared" si="23"/>
        <v>0</v>
      </c>
      <c r="H70" s="2"/>
      <c r="I70" s="37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14">
        <v>5</v>
      </c>
      <c r="B71" s="14">
        <v>250</v>
      </c>
      <c r="C71" s="14">
        <v>302</v>
      </c>
      <c r="D71" s="14" t="s">
        <v>18</v>
      </c>
      <c r="E71" s="23"/>
      <c r="F71" s="17">
        <f t="shared" si="22"/>
        <v>0</v>
      </c>
      <c r="G71" s="18">
        <f t="shared" si="23"/>
        <v>0</v>
      </c>
      <c r="H71" s="2"/>
      <c r="I71" s="14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27" t="s">
        <v>19</v>
      </c>
      <c r="B72" s="27"/>
      <c r="C72" s="27"/>
      <c r="D72" s="27"/>
      <c r="E72" s="28">
        <f>E67+E68+E69+E70+E71</f>
        <v>0</v>
      </c>
      <c r="F72" s="29"/>
      <c r="G72" s="1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>
      <c r="A73" s="14">
        <v>1</v>
      </c>
      <c r="B73" s="15">
        <v>250</v>
      </c>
      <c r="C73" s="38">
        <v>401</v>
      </c>
      <c r="D73" s="14" t="s">
        <v>15</v>
      </c>
      <c r="E73" s="23">
        <f>501-423</f>
        <v>78</v>
      </c>
      <c r="F73" s="17">
        <f t="shared" ref="F73:F77" si="24">E73*0.52</f>
        <v>40.56</v>
      </c>
      <c r="G73" s="18"/>
      <c r="H73" s="2"/>
      <c r="I73" s="37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14">
        <v>2</v>
      </c>
      <c r="B74" s="14">
        <v>250</v>
      </c>
      <c r="C74" s="14">
        <v>401</v>
      </c>
      <c r="D74" s="14" t="s">
        <v>20</v>
      </c>
      <c r="E74" s="23">
        <f>509-437</f>
        <v>72</v>
      </c>
      <c r="F74" s="17">
        <f t="shared" si="24"/>
        <v>37.44</v>
      </c>
      <c r="G74" s="18"/>
      <c r="H74" s="2"/>
      <c r="I74" s="37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14">
        <v>3</v>
      </c>
      <c r="B75" s="14">
        <v>250</v>
      </c>
      <c r="C75" s="14">
        <v>401</v>
      </c>
      <c r="D75" s="14" t="s">
        <v>16</v>
      </c>
      <c r="E75" s="23">
        <f>1005-888</f>
        <v>117</v>
      </c>
      <c r="F75" s="17">
        <f t="shared" si="24"/>
        <v>60.84</v>
      </c>
      <c r="G75" s="18"/>
      <c r="H75" s="2"/>
      <c r="I75" s="37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14">
        <v>4</v>
      </c>
      <c r="B76" s="14">
        <v>250</v>
      </c>
      <c r="C76" s="14">
        <v>401</v>
      </c>
      <c r="D76" s="14" t="s">
        <v>17</v>
      </c>
      <c r="E76" s="23">
        <f>2404-2308</f>
        <v>96</v>
      </c>
      <c r="F76" s="17">
        <f t="shared" si="24"/>
        <v>49.92</v>
      </c>
      <c r="G76" s="18"/>
      <c r="H76" s="2"/>
      <c r="I76" s="14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14">
        <v>5</v>
      </c>
      <c r="B77" s="14">
        <v>250</v>
      </c>
      <c r="C77" s="14">
        <v>401</v>
      </c>
      <c r="D77" s="14" t="s">
        <v>18</v>
      </c>
      <c r="E77" s="23">
        <f>201-128</f>
        <v>73</v>
      </c>
      <c r="F77" s="17">
        <f t="shared" si="24"/>
        <v>37.96</v>
      </c>
      <c r="G77" s="18"/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27" t="s">
        <v>19</v>
      </c>
      <c r="B78" s="27"/>
      <c r="C78" s="27"/>
      <c r="D78" s="27"/>
      <c r="E78" s="28">
        <f>E73+E74+E75+E76+E77</f>
        <v>436</v>
      </c>
      <c r="F78" s="29"/>
      <c r="G78" s="1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>
      <c r="A79" s="14">
        <v>1</v>
      </c>
      <c r="B79" s="15">
        <v>250</v>
      </c>
      <c r="C79" s="14">
        <v>402</v>
      </c>
      <c r="D79" s="14" t="s">
        <v>15</v>
      </c>
      <c r="E79" s="23">
        <f>2374-2133</f>
        <v>241</v>
      </c>
      <c r="F79" s="17">
        <f t="shared" ref="F79:F83" si="25">E79*0.5</f>
        <v>120.5</v>
      </c>
      <c r="G79" s="18"/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14">
        <v>2</v>
      </c>
      <c r="B80" s="14">
        <v>250</v>
      </c>
      <c r="C80" s="14">
        <v>402</v>
      </c>
      <c r="D80" s="14" t="s">
        <v>18</v>
      </c>
      <c r="E80" s="23">
        <f>734-577</f>
        <v>157</v>
      </c>
      <c r="F80" s="17">
        <f t="shared" si="25"/>
        <v>78.5</v>
      </c>
      <c r="G80" s="18">
        <f>F80/2</f>
        <v>39.25</v>
      </c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14">
        <v>3</v>
      </c>
      <c r="B81" s="14">
        <v>250</v>
      </c>
      <c r="C81" s="14">
        <v>402</v>
      </c>
      <c r="D81" s="14" t="s">
        <v>16</v>
      </c>
      <c r="E81" s="23">
        <f>2458-2328</f>
        <v>130</v>
      </c>
      <c r="F81" s="17">
        <f t="shared" si="25"/>
        <v>65</v>
      </c>
      <c r="G81" s="18"/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14">
        <v>4</v>
      </c>
      <c r="B82" s="14">
        <v>250</v>
      </c>
      <c r="C82" s="14">
        <v>402</v>
      </c>
      <c r="D82" s="14" t="s">
        <v>17</v>
      </c>
      <c r="E82" s="23">
        <f>680-545</f>
        <v>135</v>
      </c>
      <c r="F82" s="17">
        <f t="shared" si="25"/>
        <v>67.5</v>
      </c>
      <c r="G82" s="18">
        <f>F82/2</f>
        <v>33.75</v>
      </c>
      <c r="H82" s="3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14">
        <v>5</v>
      </c>
      <c r="B83" s="14">
        <v>250</v>
      </c>
      <c r="C83" s="14">
        <v>402</v>
      </c>
      <c r="D83" s="14" t="s">
        <v>20</v>
      </c>
      <c r="E83" s="23">
        <f>1145-961</f>
        <v>184</v>
      </c>
      <c r="F83" s="17">
        <f t="shared" si="25"/>
        <v>92</v>
      </c>
      <c r="G83" s="18"/>
      <c r="H83" s="3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27" t="s">
        <v>19</v>
      </c>
      <c r="B84" s="27"/>
      <c r="C84" s="27"/>
      <c r="D84" s="27"/>
      <c r="E84" s="28">
        <f>E79+E80+E81+E82+E83</f>
        <v>847</v>
      </c>
      <c r="F84" s="2"/>
      <c r="G84" s="2"/>
      <c r="H84" s="2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</sheetData>
  <mergeCells count="16">
    <mergeCell ref="A1:H1"/>
    <mergeCell ref="M1:S1"/>
    <mergeCell ref="A7:D7"/>
    <mergeCell ref="A12:D12"/>
    <mergeCell ref="A18:D18"/>
    <mergeCell ref="A24:D24"/>
    <mergeCell ref="A30:D30"/>
    <mergeCell ref="A36:D36"/>
    <mergeCell ref="A42:D42"/>
    <mergeCell ref="A48:D48"/>
    <mergeCell ref="A54:D54"/>
    <mergeCell ref="A60:D60"/>
    <mergeCell ref="A66:D66"/>
    <mergeCell ref="A72:D72"/>
    <mergeCell ref="A78:D78"/>
    <mergeCell ref="A84:D8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彭蓉</dc:creator>
  <cp:lastModifiedBy>多多洛</cp:lastModifiedBy>
  <dcterms:created xsi:type="dcterms:W3CDTF">2023-05-12T11:15:00Z</dcterms:created>
  <dcterms:modified xsi:type="dcterms:W3CDTF">2026-09-09T07:16:23Z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5811327CF86447A8B9BA80046C869A8F_12</vt:lpwstr>
  </property>
  <property fmtid="{D5CDD505-2E9C-101B-9397-08002B2CF9AE}" pid="4" name="CalculationRule">
    <vt:i4>0</vt:i4>
  </property>
</Properties>
</file>